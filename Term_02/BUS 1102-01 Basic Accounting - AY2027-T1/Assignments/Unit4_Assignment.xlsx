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akridge\Downloads\"/>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Mary Shilpashree</author>
  </authors>
  <commentList>
    <comment ref="E3" authorId="0" shapeId="0">
      <text>
        <r>
          <rPr>
            <sz val="11"/>
            <color theme="1"/>
            <rFont val="Calibri"/>
            <family val="2"/>
            <scheme val="minor"/>
          </rPr>
          <t>Mary Shilpashree:
Enter Ledger Folio Number (Page Number)</t>
        </r>
      </text>
    </comment>
  </commentList>
</comments>
</file>

<file path=xl/sharedStrings.xml><?xml version="1.0" encoding="utf-8"?>
<sst xmlns="http://schemas.openxmlformats.org/spreadsheetml/2006/main" count="33" uniqueCount="20">
  <si>
    <t>Sales Journal of Star Tech Co. for the Month of May</t>
  </si>
  <si>
    <t>Cash Receipt Journal of Star Tech Co. Co for the Month of May</t>
  </si>
  <si>
    <t>Date (May)</t>
  </si>
  <si>
    <t>Particular</t>
  </si>
  <si>
    <t>Invoice #</t>
  </si>
  <si>
    <t>LF</t>
  </si>
  <si>
    <t>Amount ($)</t>
  </si>
  <si>
    <t>Check #</t>
  </si>
  <si>
    <t>Ref</t>
  </si>
  <si>
    <t>Amount</t>
  </si>
  <si>
    <t>Accounts Receivable (Dr)</t>
  </si>
  <si>
    <t>Merchandise Inventory (Cr)</t>
  </si>
  <si>
    <t>Debit ($)</t>
  </si>
  <si>
    <t>Purchase Journal of Star Tech Co. for the Month of May</t>
  </si>
  <si>
    <t>Cash Payment Journal of Star Tech Co. for the Month of May</t>
  </si>
  <si>
    <t>Purchase order #</t>
  </si>
  <si>
    <t>Merchandise Inventory (Dr)</t>
  </si>
  <si>
    <t>Accounts payable (Cr)</t>
  </si>
  <si>
    <t>Credit ($)</t>
  </si>
  <si>
    <t>Note : In addition to completing the journals above, please write a short essay (300–600 words) answering the following:
1. Identify and correct errors in the Sales Journal from April. Explain why they are errors.
2. Explain whether you believe the errors were a result of fraud or simple mistakes, with reasons.
3. Recommend internal controls that could help prevent such errors or fraud in the future.
Be sure to reference and cite course readings, including OpenStax, Principles of Accounting, Vol. 1: Financial Accounting, Chapters 3–4, as well as other credible sources to support your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</si>
</sst>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b/>
      <sz val="11"/>
      <color theme="1"/>
      <name val="Calibri"/>
      <family val="2"/>
      <scheme val="minor"/>
    </font>
    <font>
      <b/>
      <u/>
      <sz val="11"/>
      <color theme="1"/>
      <name val="Calibri"/>
      <family val="2"/>
      <scheme val="minor"/>
    </font>
    <font>
      <sz val="12"/>
      <color rgb="FF000000"/>
      <name val="WordVisi_MSFontService"/>
    </font>
    <font>
      <sz val="11"/>
      <color rgb="FF000000"/>
      <name val="Calibri"/>
      <family val="2"/>
    </font>
    <font>
      <b/>
      <u/>
      <sz val="12"/>
      <color theme="1"/>
      <name val="Calibri"/>
      <family val="2"/>
      <charset val="1"/>
    </font>
    <font>
      <sz val="12"/>
      <color theme="1"/>
      <name val="Calibri"/>
      <family val="2"/>
      <charset val="1"/>
    </font>
  </fonts>
  <fills count="2">
    <fill>
      <patternFill patternType="none"/>
    </fill>
    <fill>
      <patternFill patternType="gray125"/>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indexed="64"/>
      </left>
      <right/>
      <top style="thin">
        <color indexed="64"/>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1" fillId="0" borderId="7" xfId="0" applyFont="1" applyBorder="1" applyAlignment="1">
      <alignment horizontal="center"/>
    </xf>
    <xf numFmtId="0" fontId="1" fillId="0" borderId="9" xfId="0" applyFont="1" applyBorder="1" applyAlignment="1">
      <alignment wrapText="1"/>
    </xf>
    <xf numFmtId="0" fontId="1" fillId="0" borderId="7" xfId="0" applyFont="1" applyBorder="1" applyAlignment="1">
      <alignment wrapText="1"/>
    </xf>
    <xf numFmtId="0" fontId="1" fillId="0" borderId="10" xfId="0" applyFont="1" applyBorder="1"/>
    <xf numFmtId="0" fontId="0" fillId="0" borderId="7" xfId="0" applyBorder="1"/>
    <xf numFmtId="0" fontId="2" fillId="0" borderId="7" xfId="0" applyFont="1" applyBorder="1" applyAlignment="1">
      <alignment horizontal="left"/>
    </xf>
    <xf numFmtId="0" fontId="0" fillId="0" borderId="7" xfId="0" applyBorder="1" applyAlignment="1">
      <alignment horizontal="center"/>
    </xf>
    <xf numFmtId="0" fontId="1" fillId="0" borderId="7" xfId="0" applyFont="1" applyBorder="1" applyAlignment="1">
      <alignment horizontal="center" wrapText="1"/>
    </xf>
    <xf numFmtId="0" fontId="1" fillId="0" borderId="7" xfId="0" applyFont="1" applyBorder="1"/>
    <xf numFmtId="3" fontId="0" fillId="0" borderId="7" xfId="0" applyNumberFormat="1" applyBorder="1"/>
    <xf numFmtId="0" fontId="3" fillId="0" borderId="7" xfId="0" applyFont="1" applyBorder="1"/>
    <xf numFmtId="3" fontId="4" fillId="0" borderId="7" xfId="0" applyNumberFormat="1" applyFont="1" applyBorder="1"/>
    <xf numFmtId="0" fontId="4" fillId="0" borderId="7" xfId="0" applyFont="1" applyBorder="1" applyAlignment="1">
      <alignment horizontal="left"/>
    </xf>
    <xf numFmtId="0" fontId="1" fillId="0" borderId="14"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wrapText="1"/>
    </xf>
    <xf numFmtId="0" fontId="0" fillId="0" borderId="1" xfId="0" applyBorder="1"/>
    <xf numFmtId="0" fontId="2" fillId="0" borderId="1" xfId="0" applyFont="1" applyBorder="1" applyAlignment="1">
      <alignment horizontal="left"/>
    </xf>
    <xf numFmtId="0" fontId="0" fillId="0" borderId="1" xfId="0" applyBorder="1" applyAlignment="1">
      <alignment horizontal="center"/>
    </xf>
    <xf numFmtId="3" fontId="0" fillId="0" borderId="1" xfId="0" applyNumberFormat="1" applyBorder="1"/>
    <xf numFmtId="0" fontId="5" fillId="0" borderId="1" xfId="0" applyFont="1" applyBorder="1"/>
    <xf numFmtId="3" fontId="4" fillId="0" borderId="1" xfId="0" applyNumberFormat="1" applyFont="1" applyBorder="1"/>
    <xf numFmtId="0" fontId="6" fillId="0" borderId="1" xfId="0" applyFont="1" applyBorder="1"/>
    <xf numFmtId="0" fontId="6" fillId="0" borderId="1"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center"/>
    </xf>
    <xf numFmtId="0" fontId="1" fillId="0" borderId="4" xfId="0" applyFont="1" applyBorder="1" applyAlignment="1">
      <alignment horizontal="center"/>
    </xf>
    <xf numFmtId="0" fontId="1" fillId="0" borderId="8" xfId="0" applyFont="1" applyBorder="1" applyAlignment="1">
      <alignment horizontal="center"/>
    </xf>
    <xf numFmtId="0" fontId="1" fillId="0" borderId="5" xfId="0" applyFont="1" applyBorder="1" applyAlignment="1">
      <alignment horizontal="center"/>
    </xf>
    <xf numFmtId="0" fontId="1" fillId="0" borderId="2" xfId="0" applyFont="1" applyBorder="1" applyAlignment="1">
      <alignment horizontal="center" wrapText="1"/>
    </xf>
    <xf numFmtId="0" fontId="1" fillId="0" borderId="10" xfId="0" applyFont="1" applyBorder="1" applyAlignment="1">
      <alignment horizontal="center" wrapText="1"/>
    </xf>
    <xf numFmtId="0" fontId="1" fillId="0" borderId="10" xfId="0" applyFont="1" applyBorder="1" applyAlignment="1">
      <alignment horizontal="center"/>
    </xf>
    <xf numFmtId="0" fontId="1" fillId="0" borderId="1" xfId="0" applyFont="1" applyBorder="1" applyAlignment="1">
      <alignment horizontal="center" wrapText="1"/>
    </xf>
    <xf numFmtId="0" fontId="1" fillId="0" borderId="11" xfId="0" applyFont="1" applyBorder="1" applyAlignment="1">
      <alignment horizontal="center"/>
    </xf>
    <xf numFmtId="0" fontId="1" fillId="0" borderId="13" xfId="0" applyFont="1" applyBorder="1" applyAlignment="1">
      <alignment horizontal="center"/>
    </xf>
    <xf numFmtId="0" fontId="1" fillId="0" borderId="12" xfId="0" applyFont="1" applyBorder="1"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O51"/>
  <sheetViews>
    <sheetView tabSelected="1" workbookViewId="0">
      <selection activeCell="B2" sqref="B2"/>
    </sheetView>
  </sheetViews>
  <sheetFormatPr defaultRowHeight="15"/>
  <cols>
    <col min="2" max="2" width="10.140625" bestFit="1" customWidth="1"/>
    <col min="3" max="3" width="22" customWidth="1"/>
    <col min="4" max="4" width="15.140625" bestFit="1" customWidth="1"/>
    <col min="5" max="5" width="3.5703125" bestFit="1" customWidth="1"/>
    <col min="6" max="6" width="24.140625" bestFit="1" customWidth="1"/>
    <col min="7" max="7" width="24" bestFit="1" customWidth="1"/>
    <col min="8" max="8" width="20" customWidth="1"/>
    <col min="10" max="10" width="10.140625" bestFit="1" customWidth="1"/>
    <col min="11" max="11" width="36" customWidth="1"/>
    <col min="12" max="12" width="8" customWidth="1"/>
    <col min="13" max="13" width="12" customWidth="1"/>
    <col min="15" max="15" width="16.140625" customWidth="1"/>
  </cols>
  <sheetData>
    <row r="2" spans="2:15">
      <c r="B2" s="25" t="s">
        <v>0</v>
      </c>
      <c r="C2" s="26"/>
      <c r="D2" s="25"/>
      <c r="E2" s="26"/>
      <c r="F2" s="25"/>
      <c r="G2" s="25"/>
      <c r="J2" s="26" t="inlineStr">
        <is>
          <t>Cash Receipt Journal of Star Tech Co. for the Month of May</t>
        </is>
      </c>
      <c r="K2" s="26"/>
      <c r="L2" s="26"/>
      <c r="M2" s="26"/>
      <c r="N2" s="26"/>
      <c r="O2" s="26"/>
    </row>
    <row r="3" spans="2:15">
      <c r="B3" s="27" t="s">
        <v>2</v>
      </c>
      <c r="C3" s="25" t="s">
        <v>3</v>
      </c>
      <c r="D3" s="29" t="s">
        <v>4</v>
      </c>
      <c r="E3" s="25" t="s">
        <v>5</v>
      </c>
      <c r="F3" s="31" t="s">
        <v>6</v>
      </c>
      <c r="G3" s="25"/>
      <c r="J3" s="27" t="s">
        <v>2</v>
      </c>
      <c r="K3" s="25" t="s">
        <v>3</v>
      </c>
      <c r="L3" s="29" t="s">
        <v>7</v>
      </c>
      <c r="M3" s="32" t="s">
        <v>8</v>
      </c>
      <c r="N3" s="28" t="s">
        <v>5</v>
      </c>
      <c r="O3" s="1" t="s">
        <v>9</v>
      </c>
    </row>
    <row r="4" spans="2:15" ht="30">
      <c r="B4" s="28"/>
      <c r="C4" s="26"/>
      <c r="D4" s="30"/>
      <c r="E4" s="28"/>
      <c r="F4" s="2" t="s">
        <v>10</v>
      </c>
      <c r="G4" s="3" t="inlineStr">
        <is>
          <t>Sales (Cr)</t>
        </is>
      </c>
      <c r="J4" s="28"/>
      <c r="K4" s="26"/>
      <c r="L4" s="30"/>
      <c r="M4" s="33"/>
      <c r="N4" s="34"/>
      <c r="O4" s="4" t="s">
        <v>12</v>
      </c>
    </row>
    <row r="5" spans="2:15">
      <c r="B5" s="7" t="inlineStr">
        <is>
          <t>May-01</t>
        </is>
      </c>
      <c r="C5" s="5" t="inlineStr">
        <is>
          <t>Customer A</t>
        </is>
      </c>
      <c r="D5" s="7">
        <v>110</v>
      </c>
      <c r="E5" s="7"/>
      <c r="F5" s="10">
        <v>3500</v>
      </c>
      <c r="G5" s="10">
        <v>3500</v>
      </c>
      <c r="J5" s="7" t="inlineStr">
        <is>
          <t>May-05</t>
        </is>
      </c>
      <c r="K5" s="5" t="inlineStr">
        <is>
          <t>Accounts Receivable - Customer B</t>
        </is>
      </c>
      <c r="L5" s="7"/>
      <c r="M5" s="7" t="inlineStr">
        <is>
          <t>Inv #2 (Apr)</t>
        </is>
      </c>
      <c r="N5" s="7"/>
      <c r="O5" s="10">
        <v>2000</v>
      </c>
    </row>
    <row r="6" spans="2:15">
      <c r="B6" s="7" t="inlineStr">
        <is>
          <t>May-09</t>
        </is>
      </c>
      <c r="C6" s="5" t="inlineStr">
        <is>
          <t>Customer C</t>
        </is>
      </c>
      <c r="D6" s="7">
        <v>112</v>
      </c>
      <c r="E6" s="7"/>
      <c r="F6" s="10">
        <v>4000</v>
      </c>
      <c r="G6" s="10">
        <v>4000</v>
      </c>
      <c r="J6" s="7" t="inlineStr">
        <is>
          <t>May-14</t>
        </is>
      </c>
      <c r="K6" s="5" t="inlineStr">
        <is>
          <t>Accounts Receivable - Customer A</t>
        </is>
      </c>
      <c r="L6" s="7"/>
      <c r="M6" s="7" t="inlineStr">
        <is>
          <t>Inv #110</t>
        </is>
      </c>
      <c r="N6" s="7"/>
      <c r="O6" s="10">
        <v>3500</v>
      </c>
    </row>
    <row r="7" spans="2:15">
      <c r="B7" s="7" t="inlineStr">
        <is>
          <t>May-20</t>
        </is>
      </c>
      <c r="C7" s="5" t="inlineStr">
        <is>
          <t>Customer D</t>
        </is>
      </c>
      <c r="D7" s="7">
        <v>116</v>
      </c>
      <c r="E7" s="7"/>
      <c r="F7" s="10">
        <v>3200</v>
      </c>
      <c r="G7" s="10">
        <v>3200</v>
      </c>
      <c r="J7" s="7" t="inlineStr">
        <is>
          <t>May-26</t>
        </is>
      </c>
      <c r="K7" s="5" t="inlineStr">
        <is>
          <t>Accounts Receivable - Customer C</t>
        </is>
      </c>
      <c r="L7" s="7"/>
      <c r="M7" s="7" t="inlineStr">
        <is>
          <t>Inv #112</t>
        </is>
      </c>
      <c r="N7" s="7"/>
      <c r="O7" s="10">
        <v>4000</v>
      </c>
    </row>
    <row r="8" spans="2:15">
      <c r="B8" s="7" t="inlineStr">
        <is>
          <t>May-30</t>
        </is>
      </c>
      <c r="C8" s="5" t="inlineStr">
        <is>
          <t>Customer E</t>
        </is>
      </c>
      <c r="D8" s="7">
        <v>115</v>
      </c>
      <c r="E8" s="7"/>
      <c r="F8" s="10">
        <v>5000</v>
      </c>
      <c r="G8" s="10">
        <v>5000</v>
      </c>
      <c r="J8" s="7"/>
      <c r="K8" s="9" t="inlineStr">
        <is>
          <t>Total</t>
        </is>
      </c>
      <c r="L8" s="7"/>
      <c r="M8" s="7"/>
      <c r="N8" s="7"/>
      <c r="O8" s="10">
        <f>SUM(O5:O7)</f>
        <v>9500</v>
      </c>
    </row>
    <row r="9" spans="2:15">
      <c r="B9" s="7"/>
      <c r="C9" s="9" t="inlineStr">
        <is>
          <t>Total</t>
        </is>
      </c>
      <c r="D9" s="7"/>
      <c r="E9" s="7"/>
      <c r="F9" s="10">
        <f>SUM(F5:F8)</f>
        <v>15700</v>
      </c>
      <c r="G9" s="10">
        <f>SUM(G5:G8)</f>
        <v>15700</v>
      </c>
      <c r="J9" s="7"/>
      <c r="K9" s="5"/>
      <c r="L9" s="7"/>
      <c r="M9" s="7"/>
      <c r="N9" s="7"/>
      <c r="O9" s="10"/>
    </row>
    <row r="10" spans="2:15">
      <c r="B10" s="5"/>
      <c r="C10" s="5"/>
      <c r="D10" s="7"/>
      <c r="E10" s="5"/>
      <c r="F10" s="10"/>
      <c r="G10" s="5"/>
      <c r="J10" s="7"/>
      <c r="K10" s="5"/>
      <c r="L10" s="7"/>
      <c r="M10" s="7"/>
      <c r="N10" s="7"/>
      <c r="O10" s="10"/>
    </row>
    <row r="11" spans="2:15" ht="15.75">
      <c r="B11" s="5"/>
      <c r="C11" s="5"/>
      <c r="D11" s="7"/>
      <c r="E11" s="5"/>
      <c r="F11" s="5"/>
      <c r="G11" s="10"/>
      <c r="J11" s="5"/>
      <c r="K11" s="11"/>
      <c r="L11" s="7"/>
      <c r="M11" s="5"/>
      <c r="N11" s="7"/>
      <c r="O11" s="5"/>
    </row>
    <row r="12" spans="2:15">
      <c r="B12" s="5"/>
      <c r="C12" s="9"/>
      <c r="D12" s="7"/>
      <c r="E12" s="5"/>
      <c r="F12" s="5"/>
      <c r="G12" s="5"/>
    </row>
    <row r="13" spans="2:15">
      <c r="B13" s="5"/>
      <c r="C13" s="5"/>
      <c r="D13" s="7"/>
      <c r="E13" s="5"/>
      <c r="F13" s="12"/>
      <c r="G13" s="5"/>
    </row>
    <row r="16" spans="2:15">
      <c r="B16" s="25" t="s">
        <v>13</v>
      </c>
      <c r="C16" s="25"/>
      <c r="D16" s="25"/>
      <c r="E16" s="25"/>
      <c r="F16" s="25"/>
      <c r="G16" s="25"/>
      <c r="J16" s="25" t="s">
        <v>14</v>
      </c>
      <c r="K16" s="25"/>
      <c r="L16" s="25"/>
      <c r="M16" s="25"/>
      <c r="N16" s="25"/>
      <c r="O16" s="25"/>
    </row>
    <row r="17" spans="2:15">
      <c r="B17" s="35" t="s">
        <v>2</v>
      </c>
      <c r="C17" s="35" t="s">
        <v>3</v>
      </c>
      <c r="D17" s="35" t="s">
        <v>15</v>
      </c>
      <c r="E17" s="35" t="s">
        <v>5</v>
      </c>
      <c r="F17" s="35" t="s">
        <v>6</v>
      </c>
      <c r="G17" s="35"/>
      <c r="H17" s="35"/>
      <c r="J17" s="36" t="s">
        <v>2</v>
      </c>
      <c r="K17" s="37" t="s">
        <v>3</v>
      </c>
      <c r="L17" s="38" t="s">
        <v>7</v>
      </c>
      <c r="M17" s="34" t="s">
        <v>8</v>
      </c>
      <c r="N17" s="38" t="s">
        <v>5</v>
      </c>
      <c r="O17" s="14" t="s">
        <v>9</v>
      </c>
    </row>
    <row r="18" spans="2:15" ht="30">
      <c r="B18" s="35"/>
      <c r="C18" s="35"/>
      <c r="D18" s="35"/>
      <c r="E18" s="35"/>
      <c r="F18" s="16" t="s">
        <v>16</v>
      </c>
      <c r="G18" s="15" t="s">
        <v>17</v>
      </c>
      <c r="H18" s="16" t="inlineStr">
        <is>
          <t>Other Accounts (Dr)</t>
        </is>
      </c>
      <c r="J18" s="28"/>
      <c r="K18" s="26"/>
      <c r="L18" s="30"/>
      <c r="M18" s="34"/>
      <c r="N18" s="30"/>
      <c r="O18" s="4" t="s">
        <v>18</v>
      </c>
    </row>
    <row r="19" spans="2:15">
      <c r="B19" s="19" t="inlineStr">
        <is>
          <t>May-03</t>
        </is>
      </c>
      <c r="C19" s="17" t="inlineStr">
        <is>
          <t>Office Supplies</t>
        </is>
      </c>
      <c r="D19" s="19">
        <v>132</v>
      </c>
      <c r="E19" s="19"/>
      <c r="F19" s="20"/>
      <c r="G19" s="20">
        <v>1000</v>
      </c>
      <c r="H19" s="20">
        <v>1000</v>
      </c>
      <c r="J19" s="19" t="inlineStr">
        <is>
          <t>May-08</t>
        </is>
      </c>
      <c r="K19" s="17" t="inlineStr">
        <is>
          <t>Rent Expense</t>
        </is>
      </c>
      <c r="L19" s="19"/>
      <c r="M19" s="19"/>
      <c r="N19" s="19"/>
      <c r="O19" s="20">
        <v>1200</v>
      </c>
    </row>
    <row r="20" spans="2:15">
      <c r="B20" s="19" t="inlineStr">
        <is>
          <t>May-11</t>
        </is>
      </c>
      <c r="C20" s="17" t="inlineStr">
        <is>
          <t>Merchandise Inventory</t>
        </is>
      </c>
      <c r="D20" s="19">
        <v>133</v>
      </c>
      <c r="E20" s="19"/>
      <c r="F20" s="20">
        <v>5500</v>
      </c>
      <c r="G20" s="20">
        <v>5500</v>
      </c>
      <c r="H20" s="20"/>
      <c r="J20" s="19" t="inlineStr">
        <is>
          <t>May-17</t>
        </is>
      </c>
      <c r="K20" s="17" t="inlineStr">
        <is>
          <t>Utilities Expense</t>
        </is>
      </c>
      <c r="L20" s="19"/>
      <c r="M20" s="19" t="inlineStr">
        <is>
          <t>Inv #113</t>
        </is>
      </c>
      <c r="N20" s="19"/>
      <c r="O20" s="20">
        <v>800</v>
      </c>
    </row>
    <row r="21" spans="2:15">
      <c r="B21" s="19" t="inlineStr">
        <is>
          <t>May-22</t>
        </is>
      </c>
      <c r="C21" s="17" t="inlineStr">
        <is>
          <t>Office Equipment</t>
        </is>
      </c>
      <c r="D21" s="19">
        <v>134</v>
      </c>
      <c r="E21" s="19"/>
      <c r="F21" s="20"/>
      <c r="G21" s="20">
        <v>2500</v>
      </c>
      <c r="H21" s="20">
        <v>2500</v>
      </c>
      <c r="J21" s="19" t="inlineStr">
        <is>
          <t>May-28</t>
        </is>
      </c>
      <c r="K21" s="17" t="inlineStr">
        <is>
          <t>Accounts Payable - Office Equipment</t>
        </is>
      </c>
      <c r="L21" s="19"/>
      <c r="M21" s="19" t="inlineStr">
        <is>
          <t>Inv #114</t>
        </is>
      </c>
      <c r="N21" s="19"/>
      <c r="O21" s="20">
        <v>2500</v>
      </c>
    </row>
    <row r="22" spans="2:15">
      <c r="B22" s="19"/>
      <c r="C22" s="25" t="inlineStr">
        <is>
          <t>Total</t>
        </is>
      </c>
      <c r="D22" s="19"/>
      <c r="E22" s="19"/>
      <c r="F22" s="20">
        <f>SUM(F19:F21)</f>
        <v>5500</v>
      </c>
      <c r="G22" s="20">
        <f>SUM(G19:G21)</f>
        <v>9000</v>
      </c>
      <c r="H22" s="20">
        <f>SUM(H19:H21)</f>
        <v>3500</v>
      </c>
      <c r="J22" s="19"/>
      <c r="K22" s="25" t="inlineStr">
        <is>
          <t>Total</t>
        </is>
      </c>
      <c r="L22" s="19"/>
      <c r="M22" s="19"/>
      <c r="N22" s="19"/>
      <c r="O22" s="20">
        <f>SUM(O19:O21)</f>
        <v>4500</v>
      </c>
    </row>
    <row r="23" spans="2:15" ht="15.75">
      <c r="B23" s="17"/>
      <c r="C23" s="21"/>
      <c r="D23" s="19"/>
      <c r="E23" s="17"/>
      <c r="F23" s="17"/>
      <c r="G23" s="17"/>
      <c r="H23" s="17"/>
      <c r="J23" s="19"/>
      <c r="K23" s="17"/>
      <c r="L23" s="19"/>
      <c r="M23" s="19"/>
      <c r="N23" s="19"/>
      <c r="O23" s="20"/>
    </row>
    <row r="24" spans="2:15">
      <c r="B24" s="17"/>
      <c r="C24" s="17"/>
      <c r="D24" s="19"/>
      <c r="E24" s="17"/>
      <c r="F24" s="22"/>
      <c r="G24" s="17"/>
      <c r="H24" s="17"/>
      <c r="J24" s="19"/>
      <c r="K24" s="17"/>
      <c r="L24" s="19"/>
      <c r="M24" s="19"/>
      <c r="N24" s="19"/>
      <c r="O24" s="20"/>
    </row>
    <row r="25" spans="2:15">
      <c r="B25" s="17"/>
      <c r="C25" s="17"/>
      <c r="D25" s="19"/>
      <c r="E25" s="17"/>
      <c r="F25" s="17"/>
      <c r="G25" s="20"/>
      <c r="H25" s="17"/>
      <c r="J25" s="5"/>
      <c r="K25" s="13"/>
      <c r="L25" s="7"/>
      <c r="M25" s="7"/>
      <c r="N25" s="5"/>
      <c r="O25" s="5"/>
    </row>
    <row r="26" spans="2:15" ht="15.75">
      <c r="B26" s="23"/>
      <c r="C26" s="21"/>
      <c r="D26" s="24"/>
      <c r="E26" s="17"/>
      <c r="F26" s="17"/>
      <c r="G26" s="17"/>
      <c r="H26" s="17"/>
    </row>
    <row r="28" spans="2:15" ht="14.45" customHeight="1"/>
    <row r="29" spans="2:15" ht="14.45" customHeight="1">
      <c r="B29" s="39" t="s">
        <v>19</v>
      </c>
      <c r="C29" s="40"/>
      <c r="D29" s="40"/>
      <c r="E29" s="40"/>
      <c r="F29" s="40"/>
      <c r="G29" s="40"/>
      <c r="H29" s="40"/>
      <c r="I29" s="40"/>
      <c r="J29" s="40"/>
      <c r="K29" s="40"/>
      <c r="L29" s="40"/>
      <c r="M29" s="40"/>
      <c r="N29" s="40"/>
      <c r="O29" s="40"/>
    </row>
    <row r="30" spans="2:15" ht="14.45" customHeight="1">
      <c r="B30" s="40"/>
      <c r="C30" s="40"/>
      <c r="D30" s="40"/>
      <c r="E30" s="40"/>
      <c r="F30" s="40"/>
      <c r="G30" s="40"/>
      <c r="H30" s="40"/>
      <c r="I30" s="40"/>
      <c r="J30" s="40"/>
      <c r="K30" s="40"/>
      <c r="L30" s="40"/>
      <c r="M30" s="40"/>
      <c r="N30" s="40"/>
      <c r="O30" s="40"/>
    </row>
    <row r="31" spans="2:15" ht="14.45" customHeight="1">
      <c r="B31" s="40"/>
      <c r="C31" s="40"/>
      <c r="D31" s="40"/>
      <c r="E31" s="40"/>
      <c r="F31" s="40"/>
      <c r="G31" s="40"/>
      <c r="H31" s="40"/>
      <c r="I31" s="40"/>
      <c r="J31" s="40"/>
      <c r="K31" s="40"/>
      <c r="L31" s="40"/>
      <c r="M31" s="40"/>
      <c r="N31" s="40"/>
      <c r="O31" s="40"/>
    </row>
    <row r="32" spans="2:15" ht="14.45" customHeight="1">
      <c r="B32" s="40"/>
      <c r="C32" s="40"/>
      <c r="D32" s="40"/>
      <c r="E32" s="40"/>
      <c r="F32" s="40"/>
      <c r="G32" s="40"/>
      <c r="H32" s="40"/>
      <c r="I32" s="40"/>
      <c r="J32" s="40"/>
      <c r="K32" s="40"/>
      <c r="L32" s="40"/>
      <c r="M32" s="40"/>
      <c r="N32" s="40"/>
      <c r="O32" s="40"/>
    </row>
    <row r="33" spans="2:15" ht="14.45" customHeight="1">
      <c r="B33" s="40"/>
      <c r="C33" s="40"/>
      <c r="D33" s="40"/>
      <c r="E33" s="40"/>
      <c r="F33" s="40"/>
      <c r="G33" s="40"/>
      <c r="H33" s="40"/>
      <c r="I33" s="40"/>
      <c r="J33" s="40"/>
      <c r="K33" s="40"/>
      <c r="L33" s="40"/>
      <c r="M33" s="40"/>
      <c r="N33" s="40"/>
      <c r="O33" s="40"/>
    </row>
    <row r="34" spans="2:15" ht="24.75" customHeight="1">
      <c r="B34" s="40"/>
      <c r="C34" s="40"/>
      <c r="D34" s="40"/>
      <c r="E34" s="40"/>
      <c r="F34" s="40"/>
      <c r="G34" s="40"/>
      <c r="H34" s="40"/>
      <c r="I34" s="40"/>
      <c r="J34" s="40"/>
      <c r="K34" s="40"/>
      <c r="L34" s="40"/>
      <c r="M34" s="40"/>
      <c r="N34" s="40"/>
      <c r="O34" s="40"/>
    </row>
    <row r="35" spans="2:15" ht="14.45" customHeight="1"/>
    <row r="36" spans="2:15" ht="14.45" customHeight="1"/>
    <row r="37" spans="2:15" ht="14.45" customHeight="1"/>
    <row r="38" spans="2:15" ht="14.45" customHeight="1"/>
    <row r="39" spans="2:15" ht="15.6" customHeight="1"/>
    <row r="40" spans="2:15" ht="14.45" customHeight="1"/>
    <row r="41" spans="2:15" ht="14.45" customHeight="1"/>
    <row r="42" spans="2:15" ht="14.45" customHeight="1"/>
    <row r="43" spans="2:15" ht="15.6" customHeight="1"/>
    <row r="44" spans="2:15" ht="14.45" customHeight="1"/>
    <row r="45" spans="2:15" ht="14.45" customHeight="1"/>
    <row r="46" spans="2:15" ht="14.45" customHeight="1"/>
    <row r="47" spans="2:15" ht="14.45" customHeight="1"/>
    <row r="48" spans="2:15" ht="14.45" customHeight="1"/>
    <row r="49" ht="14.45" customHeight="1"/>
    <row r="50" ht="14.45" customHeight="1"/>
    <row r="51" ht="14.45" customHeight="1"/>
  </sheetData>
  <mergeCells count="25">
    <mergeCell ref="B29:O34"/>
    <mergeCell ref="B16:G16"/>
    <mergeCell ref="J16:O16"/>
    <mergeCell ref="B17:B18"/>
    <mergeCell ref="C17:C18"/>
    <mergeCell ref="D17:D18"/>
    <mergeCell ref="E17:E18"/>
    <mergeCell ref="F17:H17"/>
    <mergeCell ref="J17:J18"/>
    <mergeCell ref="K17:K18"/>
    <mergeCell ref="L17:L18"/>
    <mergeCell ref="M17:M18"/>
    <mergeCell ref="N17:N18"/>
    <mergeCell ref="B2:G2"/>
    <mergeCell ref="J2:O2"/>
    <mergeCell ref="B3:B4"/>
    <mergeCell ref="C3:C4"/>
    <mergeCell ref="D3:D4"/>
    <mergeCell ref="E3:E4"/>
    <mergeCell ref="F3:G3"/>
    <mergeCell ref="J3:J4"/>
    <mergeCell ref="K3:K4"/>
    <mergeCell ref="L3:L4"/>
    <mergeCell ref="M3:M4"/>
    <mergeCell ref="N3:N4"/>
  </mergeCells>
  <pageMargins left="0.7" right="0.7" top="0.75" bottom="0.75" header="0.3" footer="0.3"/>
  <pageSetup paperSize="9"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F081214078BE44AC7506165CBC1DED" ma:contentTypeVersion="8" ma:contentTypeDescription="Create a new document." ma:contentTypeScope="" ma:versionID="a6210f17089572008a1ccf74a3ef44bf">
  <xsd:schema xmlns:xsd="http://www.w3.org/2001/XMLSchema" xmlns:xs="http://www.w3.org/2001/XMLSchema" xmlns:p="http://schemas.microsoft.com/office/2006/metadata/properties" xmlns:ns2="adc7a3b3-73b9-47a0-a994-76d0e2b1ae74" targetNamespace="http://schemas.microsoft.com/office/2006/metadata/properties" ma:root="true" ma:fieldsID="f67fbc6b62abe53e3305589431797c1a" ns2:_="">
    <xsd:import namespace="adc7a3b3-73b9-47a0-a994-76d0e2b1ae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7a3b3-73b9-47a0-a994-76d0e2b1ae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3F579E-6FD3-4B72-9B48-001E4C15DD6E}">
  <ds:schemaRefs>
    <ds:schemaRef ds:uri="http://schemas.microsoft.com/sharepoint/v3/contenttype/forms"/>
  </ds:schemaRefs>
</ds:datastoreItem>
</file>

<file path=customXml/itemProps2.xml><?xml version="1.0" encoding="utf-8"?>
<ds:datastoreItem xmlns:ds="http://schemas.openxmlformats.org/officeDocument/2006/customXml" ds:itemID="{97F25E31-2F9F-4D5A-814F-351086A5A931}">
  <ds:schemaRefs>
    <ds:schemaRef ds:uri="http://schemas.openxmlformats.org/package/2006/metadata/core-properties"/>
    <ds:schemaRef ds:uri="http://purl.org/dc/terms/"/>
    <ds:schemaRef ds:uri="http://www.w3.org/XML/1998/namespace"/>
    <ds:schemaRef ds:uri="http://purl.org/dc/elements/1.1/"/>
    <ds:schemaRef ds:uri="http://schemas.microsoft.com/office/2006/documentManagement/types"/>
    <ds:schemaRef ds:uri="adc7a3b3-73b9-47a0-a994-76d0e2b1ae74"/>
    <ds:schemaRef ds:uri="http://schemas.microsoft.com/office/2006/metadata/properties"/>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09CA8AFE-7C01-4BFA-BDAA-24E90D0086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c7a3b3-73b9-47a0-a994-76d0e2b1ae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Aloysius</dc:creator>
  <cp:keywords/>
  <dc:description/>
  <cp:lastModifiedBy>Aloysius </cp:lastModifiedBy>
  <cp:revision/>
  <dcterms:created xsi:type="dcterms:W3CDTF">2024-09-22T21:55:34Z</dcterms:created>
  <dcterms:modified xsi:type="dcterms:W3CDTF">2025-09-01T19:34:31Z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0x01010086F081214078BE44AC7506165CBC1DED</vt:lpwstr>
  </property>
</Properties>
</file>